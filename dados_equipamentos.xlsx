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PAGINAS WEB\MOTORES\"/>
    </mc:Choice>
  </mc:AlternateContent>
  <xr:revisionPtr revIDLastSave="0" documentId="13_ncr:1_{F86BCCF0-D6F8-47A6-8D61-C961842206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quipamentos" sheetId="1" r:id="rId1"/>
    <sheet name="Instrucoe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<sst xmlns="http://schemas.openxmlformats.org/spreadsheetml/2006/main" count="354" uniqueCount="193">
  <si>
    <t>TAG</t>
  </si>
  <si>
    <t>Fabricante</t>
  </si>
  <si>
    <t>Tipo</t>
  </si>
  <si>
    <t>Modelo</t>
  </si>
  <si>
    <t>Potencia</t>
  </si>
  <si>
    <t>Relacao</t>
  </si>
  <si>
    <t>RPM</t>
  </si>
  <si>
    <t>Lubrificante</t>
  </si>
  <si>
    <t>Quantidade_Oleo</t>
  </si>
  <si>
    <t>Local</t>
  </si>
  <si>
    <t>Foto</t>
  </si>
  <si>
    <t>Lista_Pecas</t>
  </si>
  <si>
    <t>Manual</t>
  </si>
  <si>
    <t>Fotos_Adicionais</t>
  </si>
  <si>
    <t>Observacoes</t>
  </si>
  <si>
    <t>INSTRUÇÕES DE USO</t>
  </si>
  <si>
    <t>1</t>
  </si>
  <si>
    <t>Preencha os dados na aba Equipamentos.</t>
  </si>
  <si>
    <t>2</t>
  </si>
  <si>
    <t>Mantenha a coluna TAG sem repetir valores.</t>
  </si>
  <si>
    <t>3</t>
  </si>
  <si>
    <t>Coloque fotos na pasta assets/img/.</t>
  </si>
  <si>
    <t>4</t>
  </si>
  <si>
    <t>Coloque PDFs na pasta assets/pdf/.</t>
  </si>
  <si>
    <t>5</t>
  </si>
  <si>
    <t>Os caminhos no Excel devem começar com assets/img/ ou assets/pdf/.</t>
  </si>
  <si>
    <t>6</t>
  </si>
  <si>
    <t>Abra gerar_site.py e altere BASE_URL com o link real do GitHub Pages.</t>
  </si>
  <si>
    <t>7</t>
  </si>
  <si>
    <t>Rode no terminal: python gerar_site.py</t>
  </si>
  <si>
    <t>8</t>
  </si>
  <si>
    <t>Após gerar, envie tudo ao GitHub.</t>
  </si>
  <si>
    <t>EXEMPLO DE LINK FINAL</t>
  </si>
  <si>
    <t>https://SEU_USUARIO.github.io/NOME_REPOSITORIO/equipamentos/ME-631011/</t>
  </si>
  <si>
    <t xml:space="preserve">WCG20 - V/F10 </t>
  </si>
  <si>
    <t>MOTOR 25 CV 3F 4 POLOS</t>
  </si>
  <si>
    <t>TAG Nº</t>
  </si>
  <si>
    <t>RELATORIO FINAL</t>
  </si>
  <si>
    <t xml:space="preserve"> assets/pdf/RELATFINALOS5863.pdf</t>
  </si>
  <si>
    <t xml:space="preserve"> assets/pdf/OS5863.pdf</t>
  </si>
  <si>
    <t>WEG</t>
  </si>
  <si>
    <t>OS 6251 - 1706589</t>
  </si>
  <si>
    <t>Ativos/img/OS6217.JPG</t>
  </si>
  <si>
    <t xml:space="preserve"> Ativos/pdf/manualvertimax.pdf</t>
  </si>
  <si>
    <t>OS 5684 - 2394460</t>
  </si>
  <si>
    <t>OS 5641 - 891527</t>
  </si>
  <si>
    <t>MOTOR 7.5 CV 3F 2 POLOS</t>
  </si>
  <si>
    <t>EXD</t>
  </si>
  <si>
    <t>380/660</t>
  </si>
  <si>
    <t>132S</t>
  </si>
  <si>
    <t>Rolamentos</t>
  </si>
  <si>
    <t>6308/6207</t>
  </si>
  <si>
    <t>160L</t>
  </si>
  <si>
    <t>6309/6209</t>
  </si>
  <si>
    <t>78KG</t>
  </si>
  <si>
    <t>161KG</t>
  </si>
  <si>
    <t>OS 5701 - 3294440</t>
  </si>
  <si>
    <t>180M</t>
  </si>
  <si>
    <t>220/380</t>
  </si>
  <si>
    <t>6311/6211</t>
  </si>
  <si>
    <t>193KG</t>
  </si>
  <si>
    <t>OS 5715 - 3294412</t>
  </si>
  <si>
    <t>389KG</t>
  </si>
  <si>
    <t>6314/6314</t>
  </si>
  <si>
    <t>225S/M</t>
  </si>
  <si>
    <t>220/380/440</t>
  </si>
  <si>
    <t>OS 5740 - 3294401</t>
  </si>
  <si>
    <t>30KG</t>
  </si>
  <si>
    <t>6205/6204</t>
  </si>
  <si>
    <t>90S</t>
  </si>
  <si>
    <t>OS 5790 - 3294495</t>
  </si>
  <si>
    <t>MOTOR 7.5 CV 3F 4 POLOS</t>
  </si>
  <si>
    <t>83KG</t>
  </si>
  <si>
    <t>160M</t>
  </si>
  <si>
    <t>OS 5742 - 3294496</t>
  </si>
  <si>
    <t>112M</t>
  </si>
  <si>
    <t>58KG</t>
  </si>
  <si>
    <t>6307/6206</t>
  </si>
  <si>
    <t>OS 5604 - 891572</t>
  </si>
  <si>
    <t>180L</t>
  </si>
  <si>
    <t>214KG</t>
  </si>
  <si>
    <t>OS 5718 - 3294480</t>
  </si>
  <si>
    <t>151KG</t>
  </si>
  <si>
    <t>OS 5666 - 891562</t>
  </si>
  <si>
    <t>OS 5681 - 891574</t>
  </si>
  <si>
    <t>132M</t>
  </si>
  <si>
    <t>85KG</t>
  </si>
  <si>
    <t>OS 5792 - 3294403</t>
  </si>
  <si>
    <t>SEW</t>
  </si>
  <si>
    <t>6303/6203</t>
  </si>
  <si>
    <t>OS 5615 - 891521</t>
  </si>
  <si>
    <t>100L</t>
  </si>
  <si>
    <t>42KG</t>
  </si>
  <si>
    <t>6206/6205</t>
  </si>
  <si>
    <t>DRS71M4</t>
  </si>
  <si>
    <t>OS 5628 - 891507</t>
  </si>
  <si>
    <t>146KG</t>
  </si>
  <si>
    <t>MOTOR 30 CV 3F 2 POLOS</t>
  </si>
  <si>
    <t>MOTOR 60 CV 3F 4 POLOS</t>
  </si>
  <si>
    <t>MOTOR 2 CV 3F 2 POLOS</t>
  </si>
  <si>
    <t>MOTOR 20 CV 3F 4 POLOS</t>
  </si>
  <si>
    <t>MOTOR 5 CV 3F 4 POLOS</t>
  </si>
  <si>
    <t>MOTOR 25 CV 3F 6 POLOS</t>
  </si>
  <si>
    <t>MOTOR 15 CV 3F 2 POLOS</t>
  </si>
  <si>
    <t>MOTOR 0.5 CV 3F 4 POLOS</t>
  </si>
  <si>
    <t>MOTOR 12.5 CV 3F 2 POLOS</t>
  </si>
  <si>
    <t>MOTOR 0.75 CV 3F 4 POLOS</t>
  </si>
  <si>
    <t>MOTOR 5 CV 3F 2 POLOS</t>
  </si>
  <si>
    <t>OS 6268 - 7596788</t>
  </si>
  <si>
    <t>92KG</t>
  </si>
  <si>
    <t>OS 5454 - 3435790</t>
  </si>
  <si>
    <t>COMUM</t>
  </si>
  <si>
    <t>MOTOR TRIFÁSICO 5 CV 4 POLOS</t>
  </si>
  <si>
    <t>52KG</t>
  </si>
  <si>
    <t>5208/6206</t>
  </si>
  <si>
    <t>OS 5400 - 3436043</t>
  </si>
  <si>
    <t>43KG</t>
  </si>
  <si>
    <t>6306/6205</t>
  </si>
  <si>
    <t>OS 5721 - 3294408</t>
  </si>
  <si>
    <t>MOTOR 3 CV 3F 6 POLOS</t>
  </si>
  <si>
    <t>61KG</t>
  </si>
  <si>
    <t>OS 5630 - 891509</t>
  </si>
  <si>
    <t>113KG</t>
  </si>
  <si>
    <t>132S/M</t>
  </si>
  <si>
    <t>100M4</t>
  </si>
  <si>
    <t>OS 5704 - 3294469</t>
  </si>
  <si>
    <t>MOTOR 40 CV 3F 4 POLOS</t>
  </si>
  <si>
    <t>200L</t>
  </si>
  <si>
    <t>6312/6212</t>
  </si>
  <si>
    <t>297KG</t>
  </si>
  <si>
    <t>OS 5743 - 3294423</t>
  </si>
  <si>
    <t>279KG</t>
  </si>
  <si>
    <t>OS 5607 - 891589</t>
  </si>
  <si>
    <t>MOTOR 30 CV 3F 4 POLOS</t>
  </si>
  <si>
    <t>180M/L</t>
  </si>
  <si>
    <t>6311/6309</t>
  </si>
  <si>
    <t>264KG</t>
  </si>
  <si>
    <t>OS 6238 - 7596771</t>
  </si>
  <si>
    <t>OS 6066 - 7597328</t>
  </si>
  <si>
    <t>MOTOR 15 CV 4 POLOS</t>
  </si>
  <si>
    <t>OS 6232 - 7596765</t>
  </si>
  <si>
    <t>MOTOR 20CV 3F 4 POLOS</t>
  </si>
  <si>
    <t>111KG</t>
  </si>
  <si>
    <t>OS 5411 - 3435772</t>
  </si>
  <si>
    <t>MOTOR 10 CV 3F 4 POLOS</t>
  </si>
  <si>
    <t>MOTOR 4 CV 3F 4 POLOS</t>
  </si>
  <si>
    <t>OS 5669 - 891526</t>
  </si>
  <si>
    <t>32KG</t>
  </si>
  <si>
    <t>OS 5653 - 891508</t>
  </si>
  <si>
    <t>MOTOR 3 CV 3F 4 POLOS</t>
  </si>
  <si>
    <t>44KG</t>
  </si>
  <si>
    <t>OS 5636 - 891547</t>
  </si>
  <si>
    <t>MOTOR 10 CV 3F 2 POLOS</t>
  </si>
  <si>
    <t>OS 6144 - 4390688</t>
  </si>
  <si>
    <t>MOTOR 2 CV 3F 4 POLOS</t>
  </si>
  <si>
    <t>L90S</t>
  </si>
  <si>
    <t>23KG</t>
  </si>
  <si>
    <t>OS 5674 - 3294421</t>
  </si>
  <si>
    <t>OS 5846 - 4821390</t>
  </si>
  <si>
    <t>MOTOR 30 CV 3F 6 POLOS</t>
  </si>
  <si>
    <t>OS 5891 - 4390564</t>
  </si>
  <si>
    <t>MOTOR 20 CV 3F 6 POLOS</t>
  </si>
  <si>
    <t>160M/L</t>
  </si>
  <si>
    <t>6309/6308</t>
  </si>
  <si>
    <t>206KG</t>
  </si>
  <si>
    <t>OS 6163 - 7597387</t>
  </si>
  <si>
    <t>MOTOR 12.50 CV 3F 4 POLOS</t>
  </si>
  <si>
    <t>116KG</t>
  </si>
  <si>
    <t>OS 5223 - 3294550</t>
  </si>
  <si>
    <t>EXT</t>
  </si>
  <si>
    <t>MOTOR 50 CV 3F 4 POLOS</t>
  </si>
  <si>
    <t>249KG</t>
  </si>
  <si>
    <t>OS 5774 - 3294438</t>
  </si>
  <si>
    <t>MOTOR 1 CV 3F 4 POLOS</t>
  </si>
  <si>
    <t>80S4</t>
  </si>
  <si>
    <t>15KG</t>
  </si>
  <si>
    <t>6304/6304</t>
  </si>
  <si>
    <t>OS 5391 - 3436065</t>
  </si>
  <si>
    <t>MOTOR 1.5 CV 3F 4 POLOS</t>
  </si>
  <si>
    <t>1735/40</t>
  </si>
  <si>
    <t>OS 5397 - 3436002</t>
  </si>
  <si>
    <t>MOTOR 2 CV 3F 6 POLOS</t>
  </si>
  <si>
    <t>OS 5225 - 3294505</t>
  </si>
  <si>
    <t>149KG</t>
  </si>
  <si>
    <t>28KG</t>
  </si>
  <si>
    <t>71M4</t>
  </si>
  <si>
    <t>30.947KG</t>
  </si>
  <si>
    <t xml:space="preserve"> </t>
  </si>
  <si>
    <t>Ativos/img/OS5641.jpg</t>
  </si>
  <si>
    <t>Ativos/img/OS5684.jpg</t>
  </si>
  <si>
    <t>a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</si>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</sst>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4AF37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quipamentos" displayName="TabelaEquipamentos" ref="A1:R71" headerRowDxfId="23" dataDxfId="22" totalsRowDxfId="21">
  <autoFilter ref="A1:R71" xr:uid="{00000000-000C-0000-FFFF-FFFF00000000}"/>
  <tableColumns count="18">
    <tableColumn id="1" xr3:uid="{00000000-0010-0000-0000-000001000000}" name="TAG" dataDxfId="20"/>
    <tableColumn id="19" xr3:uid="{726DCCAF-1417-462D-BD10-A9FED761ADBD}" name="Fabricante" dataDxfId="19"/>
    <tableColumn id="2" xr3:uid="{00000000-0010-0000-0000-000002000000}" name="Tipo" dataDxfId="18">
      <calculatedColumnFormula>CONCATENATE("MOTOREDUTOR"," ",TabelaEquipamentos[[#This Row],[Fabricante]])</calculatedColumnFormula>
    </tableColumn>
    <tableColumn id="3" xr3:uid="{00000000-0010-0000-0000-000003000000}" name="Modelo" dataDxfId="17"/>
    <tableColumn id="4" xr3:uid="{00000000-0010-0000-0000-000004000000}" name="Potencia" dataDxfId="16"/>
    <tableColumn id="5" xr3:uid="{00000000-0010-0000-0000-000005000000}" name="Relacao" dataDxfId="15"/>
    <tableColumn id="6" xr3:uid="{00000000-0010-0000-0000-000006000000}" name="RPM" dataDxfId="14"/>
    <tableColumn id="7" xr3:uid="{00000000-0010-0000-0000-000007000000}" name="Rolamentos" dataDxfId="13"/>
    <tableColumn id="8" xr3:uid="{00000000-0010-0000-0000-000008000000}" name="Lubrificante" dataDxfId="12"/>
    <tableColumn id="9" xr3:uid="{00000000-0010-0000-0000-000009000000}" name="Quantidade_Oleo" dataDxfId="11"/>
    <tableColumn id="10" xr3:uid="{00000000-0010-0000-0000-00000A000000}" name="Local" dataDxfId="10"/>
    <tableColumn id="11" xr3:uid="{00000000-0010-0000-0000-00000B000000}" name="Foto" dataDxfId="9"/>
    <tableColumn id="12" xr3:uid="{00000000-0010-0000-0000-00000C000000}" name="Lista_Pecas" dataDxfId="8"/>
    <tableColumn id="13" xr3:uid="{00000000-0010-0000-0000-00000D000000}" name="Manual" dataDxfId="7"/>
    <tableColumn id="14" xr3:uid="{00000000-0010-0000-0000-00000E000000}" name="RELATORIO FINAL" dataDxfId="6"/>
    <tableColumn id="15" xr3:uid="{00000000-0010-0000-0000-00000F000000}" name="Fotos_Adicionais" dataDxfId="5"/>
    <tableColumn id="16" xr3:uid="{00000000-0010-0000-0000-000010000000}" name="Observacoes" dataDxfId="4"/>
    <tableColumn id="17" xr3:uid="{00000000-0010-0000-0000-000011000000}" name="TAG Nº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0"/>
  <sheetViews>
    <sheetView tabSelected="1" zoomScale="85" zoomScaleNormal="85" workbookViewId="0">
      <pane xSplit="6" ySplit="1" topLeftCell="J2" activePane="bottomRight" state="frozen"/>
      <selection pane="topRight" activeCell="F1" sqref="F1"/>
      <selection pane="bottomLeft" activeCell="A2" sqref="A2"/>
      <selection pane="bottomRight" activeCell="N3" sqref="N3:P3"/>
    </sheetView>
  </sheetViews>
  <sheetFormatPr defaultRowHeight="14.25"/>
  <cols>
    <col min="1" max="1" width="14.875" style="2" customWidth="1"/>
    <col min="2" max="2" width="13.75" style="2" customWidth="1"/>
    <col min="3" max="3" width="16.75" style="2" customWidth="1"/>
    <col min="4" max="4" width="17.125" style="2" customWidth="1"/>
    <col min="5" max="5" width="16.625" style="2" customWidth="1"/>
    <col min="6" max="6" width="14" style="2" customWidth="1"/>
    <col min="7" max="7" width="12.125" style="2" customWidth="1"/>
    <col min="8" max="8" width="8.25" style="2" customWidth="1"/>
    <col min="9" max="9" width="12.625" style="2" customWidth="1"/>
    <col min="10" max="10" width="13.5" style="2" customWidth="1"/>
    <col min="11" max="11" width="15.75" style="2" customWidth="1"/>
    <col min="12" max="12" width="23.25" style="2" customWidth="1"/>
    <col min="13" max="13" width="16.125" style="2" bestFit="1" customWidth="1"/>
    <col min="14" max="14" width="11.75" style="2" bestFit="1" customWidth="1"/>
    <col min="15" max="15" width="11.875" style="2" customWidth="1"/>
    <col min="16" max="16" width="10.625" style="2" customWidth="1"/>
    <col min="17" max="17" width="20.125" style="2" bestFit="1" customWidth="1"/>
    <col min="18" max="18" width="32" style="2" customWidth="1"/>
    <col min="19" max="16384" width="9" style="2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37</v>
      </c>
      <c r="P1" s="1" t="s">
        <v>13</v>
      </c>
      <c r="Q1" s="1" t="s">
        <v>14</v>
      </c>
      <c r="R1" s="2" t="s">
        <v>36</v>
      </c>
    </row>
    <row r="2" spans="1:18" ht="57">
      <c r="A2" s="3" t="s">
        <v>41</v>
      </c>
      <c r="B2" s="3" t="s">
        <v>40</v>
      </c>
      <c r="C2" s="3" t="str">
        <f>CONCATENATE("MOTOREDUTOR"," ",TabelaEquipamentos[[#This Row],[Fabricante]])</f>
        <v>MOTOREDUTOR WEG</v>
      </c>
      <c r="D2" s="3" t="s">
        <v>34</v>
      </c>
      <c r="E2" s="3" t="s">
        <v>35</v>
      </c>
      <c r="F2" s="3">
        <v>41.4</v>
      </c>
      <c r="G2" s="3">
        <v>1750</v>
      </c>
      <c r="H2" s="3"/>
      <c r="I2" s="3"/>
      <c r="J2" s="3"/>
      <c r="K2" s="3"/>
      <c r="L2" s="3" t="s">
        <v>42</v>
      </c>
      <c r="M2" s="3"/>
      <c r="N2" s="3" t="s">
        <v>43</v>
      </c>
      <c r="O2" s="3" t="s">
        <v>38</v>
      </c>
      <c r="P2" s="3" t="s">
        <v>39</v>
      </c>
      <c r="Q2" s="3">
        <v>231</v>
      </c>
    </row>
    <row r="3" spans="1:18" ht="57">
      <c r="A3" s="3" t="s">
        <v>44</v>
      </c>
      <c r="B3" s="3" t="s">
        <v>40</v>
      </c>
      <c r="C3" s="3" t="s">
        <v>47</v>
      </c>
      <c r="D3" s="3" t="s">
        <v>52</v>
      </c>
      <c r="E3" s="3" t="s">
        <v>35</v>
      </c>
      <c r="F3" s="3" t="s">
        <v>48</v>
      </c>
      <c r="G3" s="3">
        <v>1760</v>
      </c>
      <c r="H3" s="3" t="s">
        <v>53</v>
      </c>
      <c r="I3" s="3" t="s">
        <v>55</v>
      </c>
      <c r="J3" s="3" t="s">
        <v>190</v>
      </c>
      <c r="K3" s="3" t="s">
        <v>191</v>
      </c>
      <c r="L3" s="3" t="s">
        <v>189</v>
      </c>
      <c r="M3" s="3" t="s">
        <v>43</v>
      </c>
      <c r="N3" s="3" t="s">
        <v>43</v>
      </c>
      <c r="O3" s="3" t="s">
        <v>38</v>
      </c>
      <c r="P3" s="3" t="s">
        <v>39</v>
      </c>
      <c r="Q3" s="3">
        <v>231</v>
      </c>
    </row>
    <row r="4" spans="1:18" ht="28.5">
      <c r="A4" s="3" t="s">
        <v>45</v>
      </c>
      <c r="B4" s="3" t="s">
        <v>40</v>
      </c>
      <c r="C4" s="3" t="s">
        <v>47</v>
      </c>
      <c r="D4" s="3" t="s">
        <v>49</v>
      </c>
      <c r="E4" s="3" t="s">
        <v>46</v>
      </c>
      <c r="F4" s="3" t="s">
        <v>48</v>
      </c>
      <c r="G4" s="3">
        <v>3520</v>
      </c>
      <c r="H4" s="3" t="s">
        <v>51</v>
      </c>
      <c r="I4" s="3" t="s">
        <v>54</v>
      </c>
      <c r="J4" s="3"/>
      <c r="K4" s="3"/>
      <c r="L4" s="3" t="s">
        <v>188</v>
      </c>
      <c r="M4" s="3"/>
      <c r="N4" s="3"/>
      <c r="O4" s="3"/>
      <c r="P4" s="3"/>
      <c r="Q4" s="3"/>
    </row>
    <row r="5" spans="1:18" ht="28.5">
      <c r="A5" s="3" t="s">
        <v>56</v>
      </c>
      <c r="B5" s="3" t="s">
        <v>40</v>
      </c>
      <c r="C5" s="3" t="s">
        <v>47</v>
      </c>
      <c r="D5" s="3" t="s">
        <v>57</v>
      </c>
      <c r="E5" s="3" t="s">
        <v>97</v>
      </c>
      <c r="F5" s="3" t="s">
        <v>58</v>
      </c>
      <c r="G5" s="3">
        <v>3540</v>
      </c>
      <c r="H5" s="3" t="s">
        <v>59</v>
      </c>
      <c r="I5" s="3" t="s">
        <v>60</v>
      </c>
      <c r="J5" s="3"/>
      <c r="K5" s="3"/>
      <c r="L5" s="3"/>
      <c r="M5" s="3"/>
      <c r="N5" s="3"/>
      <c r="O5" s="3"/>
      <c r="P5" s="3"/>
      <c r="Q5" s="3"/>
    </row>
    <row r="6" spans="1:18" ht="28.5">
      <c r="A6" s="3" t="s">
        <v>61</v>
      </c>
      <c r="B6" s="3" t="s">
        <v>40</v>
      </c>
      <c r="C6" s="3" t="s">
        <v>47</v>
      </c>
      <c r="D6" s="3" t="s">
        <v>64</v>
      </c>
      <c r="E6" s="3" t="s">
        <v>98</v>
      </c>
      <c r="F6" s="3" t="s">
        <v>65</v>
      </c>
      <c r="G6" s="3">
        <v>1780</v>
      </c>
      <c r="H6" s="3" t="s">
        <v>63</v>
      </c>
      <c r="I6" s="3" t="s">
        <v>62</v>
      </c>
      <c r="J6" s="3"/>
      <c r="K6" s="3"/>
      <c r="L6" s="3"/>
      <c r="M6" s="3"/>
      <c r="N6" s="3"/>
      <c r="O6" s="3"/>
      <c r="P6" s="3"/>
      <c r="Q6" s="3"/>
    </row>
    <row r="7" spans="1:18" ht="28.5">
      <c r="A7" s="3" t="s">
        <v>66</v>
      </c>
      <c r="B7" s="3" t="s">
        <v>40</v>
      </c>
      <c r="C7" s="3" t="s">
        <v>47</v>
      </c>
      <c r="D7" s="3" t="s">
        <v>69</v>
      </c>
      <c r="E7" s="3" t="s">
        <v>99</v>
      </c>
      <c r="F7" s="3" t="s">
        <v>65</v>
      </c>
      <c r="G7" s="3">
        <v>3450</v>
      </c>
      <c r="H7" s="3" t="s">
        <v>68</v>
      </c>
      <c r="I7" s="3" t="s">
        <v>67</v>
      </c>
      <c r="J7" s="3"/>
      <c r="K7" s="3"/>
      <c r="L7" s="3"/>
      <c r="M7" s="3"/>
      <c r="N7" s="3"/>
      <c r="O7" s="3"/>
      <c r="P7" s="3"/>
      <c r="Q7" s="3"/>
    </row>
    <row r="8" spans="1:18" ht="28.5">
      <c r="A8" s="3" t="s">
        <v>70</v>
      </c>
      <c r="B8" s="3" t="s">
        <v>40</v>
      </c>
      <c r="C8" s="3" t="s">
        <v>47</v>
      </c>
      <c r="D8" s="3" t="s">
        <v>49</v>
      </c>
      <c r="E8" s="3" t="s">
        <v>71</v>
      </c>
      <c r="F8" s="3" t="s">
        <v>48</v>
      </c>
      <c r="G8" s="3">
        <v>1765</v>
      </c>
      <c r="H8" s="3" t="s">
        <v>51</v>
      </c>
      <c r="I8" s="3" t="s">
        <v>72</v>
      </c>
      <c r="J8" s="3"/>
      <c r="K8" s="3"/>
      <c r="L8" s="3"/>
      <c r="M8" s="3"/>
      <c r="N8" s="3"/>
      <c r="O8" s="3"/>
      <c r="P8" s="3"/>
      <c r="Q8" s="3"/>
    </row>
    <row r="9" spans="1:18" ht="28.5">
      <c r="A9" s="3" t="s">
        <v>95</v>
      </c>
      <c r="B9" s="3" t="s">
        <v>40</v>
      </c>
      <c r="C9" s="3" t="s">
        <v>47</v>
      </c>
      <c r="D9" s="3" t="s">
        <v>73</v>
      </c>
      <c r="E9" s="3" t="s">
        <v>100</v>
      </c>
      <c r="F9" s="3" t="s">
        <v>48</v>
      </c>
      <c r="G9" s="3">
        <v>1760</v>
      </c>
      <c r="H9" s="3" t="s">
        <v>53</v>
      </c>
      <c r="I9" s="3" t="s">
        <v>96</v>
      </c>
      <c r="J9" s="3"/>
      <c r="K9" s="3"/>
      <c r="L9" s="3"/>
      <c r="M9" s="3"/>
      <c r="N9" s="3"/>
      <c r="O9" s="3"/>
      <c r="P9" s="3"/>
      <c r="Q9" s="3"/>
    </row>
    <row r="10" spans="1:18" ht="28.5">
      <c r="A10" s="3" t="s">
        <v>74</v>
      </c>
      <c r="B10" s="3" t="s">
        <v>40</v>
      </c>
      <c r="C10" s="3" t="s">
        <v>47</v>
      </c>
      <c r="D10" s="3" t="s">
        <v>75</v>
      </c>
      <c r="E10" s="3" t="s">
        <v>101</v>
      </c>
      <c r="F10" s="3" t="s">
        <v>65</v>
      </c>
      <c r="G10" s="3">
        <v>1735</v>
      </c>
      <c r="H10" s="3" t="s">
        <v>77</v>
      </c>
      <c r="I10" s="3" t="s">
        <v>76</v>
      </c>
      <c r="J10" s="3"/>
      <c r="K10" s="3"/>
      <c r="L10" s="3"/>
      <c r="M10" s="3"/>
      <c r="N10" s="3"/>
      <c r="O10" s="3"/>
      <c r="P10" s="3"/>
      <c r="Q10" s="3"/>
    </row>
    <row r="11" spans="1:18" ht="28.5">
      <c r="A11" s="3" t="s">
        <v>78</v>
      </c>
      <c r="B11" s="3" t="s">
        <v>40</v>
      </c>
      <c r="C11" s="3" t="s">
        <v>47</v>
      </c>
      <c r="D11" s="3" t="s">
        <v>79</v>
      </c>
      <c r="E11" s="3" t="s">
        <v>102</v>
      </c>
      <c r="F11" s="3" t="s">
        <v>48</v>
      </c>
      <c r="G11" s="3">
        <v>1175</v>
      </c>
      <c r="H11" s="3" t="s">
        <v>59</v>
      </c>
      <c r="I11" s="3" t="s">
        <v>80</v>
      </c>
      <c r="J11" s="3"/>
      <c r="K11" s="3"/>
      <c r="L11" s="3"/>
      <c r="M11" s="3"/>
      <c r="N11" s="3"/>
      <c r="O11" s="3"/>
      <c r="P11" s="3"/>
      <c r="Q11" s="3"/>
    </row>
    <row r="12" spans="1:18" ht="28.5">
      <c r="A12" s="3" t="s">
        <v>81</v>
      </c>
      <c r="B12" s="3" t="s">
        <v>40</v>
      </c>
      <c r="C12" s="3" t="s">
        <v>47</v>
      </c>
      <c r="D12" s="3" t="s">
        <v>73</v>
      </c>
      <c r="E12" s="3" t="s">
        <v>103</v>
      </c>
      <c r="F12" s="3" t="s">
        <v>48</v>
      </c>
      <c r="G12" s="3">
        <v>3540</v>
      </c>
      <c r="H12" s="3" t="s">
        <v>53</v>
      </c>
      <c r="I12" s="3" t="s">
        <v>82</v>
      </c>
      <c r="J12" s="3"/>
      <c r="K12" s="3"/>
      <c r="L12" s="3"/>
      <c r="M12" s="3"/>
      <c r="N12" s="3"/>
      <c r="O12" s="3"/>
      <c r="P12" s="3"/>
      <c r="Q12" s="3"/>
    </row>
    <row r="13" spans="1:18" ht="28.5">
      <c r="A13" s="3" t="s">
        <v>83</v>
      </c>
      <c r="B13" s="3" t="s">
        <v>40</v>
      </c>
      <c r="C13" s="3" t="s">
        <v>47</v>
      </c>
      <c r="D13" s="3" t="s">
        <v>69</v>
      </c>
      <c r="E13" s="3" t="s">
        <v>104</v>
      </c>
      <c r="F13" s="3" t="s">
        <v>58</v>
      </c>
      <c r="G13" s="3">
        <v>1750</v>
      </c>
      <c r="H13" s="3" t="s">
        <v>68</v>
      </c>
      <c r="I13" s="3" t="s">
        <v>184</v>
      </c>
      <c r="J13" s="3"/>
      <c r="K13" s="3"/>
      <c r="L13" s="3"/>
      <c r="M13" s="3"/>
      <c r="N13" s="3"/>
      <c r="O13" s="3"/>
      <c r="P13" s="3"/>
      <c r="Q13" s="3"/>
    </row>
    <row r="14" spans="1:18" ht="28.5">
      <c r="A14" s="3" t="s">
        <v>84</v>
      </c>
      <c r="B14" s="3" t="s">
        <v>40</v>
      </c>
      <c r="C14" s="3" t="s">
        <v>47</v>
      </c>
      <c r="D14" s="3" t="s">
        <v>85</v>
      </c>
      <c r="E14" s="3" t="s">
        <v>105</v>
      </c>
      <c r="F14" s="3" t="s">
        <v>48</v>
      </c>
      <c r="G14" s="3">
        <v>3520</v>
      </c>
      <c r="H14" s="3" t="s">
        <v>51</v>
      </c>
      <c r="I14" s="3" t="s">
        <v>86</v>
      </c>
      <c r="J14" s="3"/>
      <c r="K14" s="3"/>
      <c r="L14" s="3"/>
      <c r="M14" s="3"/>
      <c r="N14" s="3"/>
      <c r="O14" s="3"/>
      <c r="P14" s="3"/>
      <c r="Q14" s="3"/>
    </row>
    <row r="15" spans="1:18" ht="28.5">
      <c r="A15" s="3" t="s">
        <v>87</v>
      </c>
      <c r="B15" s="3" t="s">
        <v>88</v>
      </c>
      <c r="C15" s="3" t="s">
        <v>94</v>
      </c>
      <c r="D15" s="3" t="s">
        <v>185</v>
      </c>
      <c r="E15" s="3" t="s">
        <v>106</v>
      </c>
      <c r="F15" s="3" t="s">
        <v>58</v>
      </c>
      <c r="G15" s="3">
        <v>1690</v>
      </c>
      <c r="H15" s="3" t="s">
        <v>89</v>
      </c>
      <c r="I15" s="3"/>
      <c r="J15" s="3"/>
      <c r="K15" s="3"/>
      <c r="L15" s="3"/>
      <c r="M15" s="3"/>
      <c r="N15" s="3"/>
      <c r="O15" s="3"/>
      <c r="P15" s="3"/>
      <c r="Q15" s="3"/>
    </row>
    <row r="16" spans="1:18" ht="28.5">
      <c r="A16" s="3" t="s">
        <v>90</v>
      </c>
      <c r="B16" s="3" t="s">
        <v>40</v>
      </c>
      <c r="C16" s="3" t="s">
        <v>47</v>
      </c>
      <c r="D16" s="3" t="s">
        <v>91</v>
      </c>
      <c r="E16" s="3" t="s">
        <v>107</v>
      </c>
      <c r="F16" s="3" t="s">
        <v>65</v>
      </c>
      <c r="G16" s="3">
        <v>3500</v>
      </c>
      <c r="H16" s="3" t="s">
        <v>93</v>
      </c>
      <c r="I16" s="3" t="s">
        <v>92</v>
      </c>
      <c r="J16" s="3"/>
      <c r="K16" s="3"/>
      <c r="L16" s="3"/>
      <c r="M16" s="3"/>
      <c r="N16" s="3"/>
      <c r="O16" s="3"/>
      <c r="P16" s="3"/>
      <c r="Q16" s="3"/>
    </row>
    <row r="17" spans="1:17" ht="28.5">
      <c r="A17" s="3" t="s">
        <v>108</v>
      </c>
      <c r="B17" s="3" t="s">
        <v>40</v>
      </c>
      <c r="C17" s="3"/>
      <c r="D17" s="3" t="s">
        <v>85</v>
      </c>
      <c r="E17" s="3"/>
      <c r="F17" s="3" t="s">
        <v>65</v>
      </c>
      <c r="G17" s="3">
        <v>1755</v>
      </c>
      <c r="H17" s="3" t="s">
        <v>51</v>
      </c>
      <c r="I17" s="3" t="s">
        <v>109</v>
      </c>
      <c r="J17" s="3"/>
      <c r="K17" s="3"/>
      <c r="L17" s="3"/>
      <c r="M17" s="3"/>
      <c r="N17" s="3"/>
      <c r="O17" s="3"/>
      <c r="P17" s="3"/>
      <c r="Q17" s="3"/>
    </row>
    <row r="18" spans="1:17" ht="42.75">
      <c r="A18" s="3" t="s">
        <v>110</v>
      </c>
      <c r="B18" s="3" t="s">
        <v>40</v>
      </c>
      <c r="C18" s="3" t="s">
        <v>111</v>
      </c>
      <c r="D18" s="3" t="s">
        <v>75</v>
      </c>
      <c r="E18" s="3" t="s">
        <v>112</v>
      </c>
      <c r="F18" s="3" t="s">
        <v>58</v>
      </c>
      <c r="G18" s="3">
        <v>1750</v>
      </c>
      <c r="H18" s="3" t="s">
        <v>114</v>
      </c>
      <c r="I18" s="3" t="s">
        <v>113</v>
      </c>
      <c r="J18" s="3"/>
      <c r="K18" s="3"/>
      <c r="L18" s="3"/>
      <c r="M18" s="3"/>
      <c r="N18" s="3"/>
      <c r="O18" s="3"/>
      <c r="P18" s="3"/>
      <c r="Q18" s="3"/>
    </row>
    <row r="19" spans="1:17" ht="28.5">
      <c r="A19" s="3" t="s">
        <v>115</v>
      </c>
      <c r="B19" s="3" t="s">
        <v>88</v>
      </c>
      <c r="C19" s="3" t="s">
        <v>111</v>
      </c>
      <c r="D19" s="3" t="s">
        <v>124</v>
      </c>
      <c r="E19" s="3" t="s">
        <v>145</v>
      </c>
      <c r="F19" s="3" t="s">
        <v>58</v>
      </c>
      <c r="G19" s="3">
        <v>1715</v>
      </c>
      <c r="H19" s="3" t="s">
        <v>117</v>
      </c>
      <c r="I19" s="3" t="s">
        <v>116</v>
      </c>
      <c r="J19" s="3"/>
      <c r="K19" s="3"/>
      <c r="L19" s="3"/>
      <c r="M19" s="3"/>
      <c r="N19" s="3"/>
      <c r="O19" s="3"/>
      <c r="P19" s="3"/>
      <c r="Q19" s="3"/>
    </row>
    <row r="20" spans="1:17" ht="28.5">
      <c r="A20" s="3" t="s">
        <v>118</v>
      </c>
      <c r="B20" s="3" t="s">
        <v>40</v>
      </c>
      <c r="C20" s="3" t="s">
        <v>47</v>
      </c>
      <c r="D20" s="3" t="s">
        <v>75</v>
      </c>
      <c r="E20" s="3" t="s">
        <v>119</v>
      </c>
      <c r="F20" s="3" t="s">
        <v>48</v>
      </c>
      <c r="G20" s="3">
        <v>1155</v>
      </c>
      <c r="H20" s="3" t="s">
        <v>77</v>
      </c>
      <c r="I20" s="3" t="s">
        <v>120</v>
      </c>
      <c r="J20" s="3"/>
      <c r="K20" s="3"/>
      <c r="L20" s="3"/>
      <c r="M20" s="3"/>
      <c r="N20" s="3"/>
      <c r="O20" s="3"/>
      <c r="P20" s="3"/>
      <c r="Q20" s="3"/>
    </row>
    <row r="21" spans="1:17" ht="28.5">
      <c r="A21" s="3" t="s">
        <v>121</v>
      </c>
      <c r="B21" s="3" t="s">
        <v>40</v>
      </c>
      <c r="C21" s="3" t="s">
        <v>47</v>
      </c>
      <c r="D21" s="3" t="s">
        <v>123</v>
      </c>
      <c r="E21" s="3" t="s">
        <v>105</v>
      </c>
      <c r="F21" s="3" t="s">
        <v>65</v>
      </c>
      <c r="G21" s="3">
        <v>3525</v>
      </c>
      <c r="H21" s="3" t="s">
        <v>51</v>
      </c>
      <c r="I21" s="3" t="s">
        <v>122</v>
      </c>
      <c r="J21" s="3"/>
      <c r="K21" s="3"/>
      <c r="L21" s="3"/>
      <c r="M21" s="3"/>
      <c r="N21" s="3"/>
      <c r="O21" s="3"/>
      <c r="P21" s="3"/>
      <c r="Q21" s="3"/>
    </row>
    <row r="22" spans="1:17" ht="28.5">
      <c r="A22" s="3" t="s">
        <v>125</v>
      </c>
      <c r="B22" s="3" t="s">
        <v>40</v>
      </c>
      <c r="C22" s="3" t="s">
        <v>47</v>
      </c>
      <c r="D22" s="3" t="s">
        <v>127</v>
      </c>
      <c r="E22" s="3" t="s">
        <v>126</v>
      </c>
      <c r="F22" s="3" t="s">
        <v>48</v>
      </c>
      <c r="G22" s="3">
        <v>1765</v>
      </c>
      <c r="H22" s="3" t="s">
        <v>128</v>
      </c>
      <c r="I22" s="3" t="s">
        <v>129</v>
      </c>
      <c r="J22" s="3"/>
      <c r="K22" s="3"/>
      <c r="L22" s="3"/>
      <c r="M22" s="3"/>
      <c r="N22" s="3"/>
      <c r="O22" s="3"/>
      <c r="P22" s="3"/>
      <c r="Q22" s="3"/>
    </row>
    <row r="23" spans="1:17" ht="28.5">
      <c r="A23" s="3" t="s">
        <v>130</v>
      </c>
      <c r="B23" s="3" t="s">
        <v>40</v>
      </c>
      <c r="C23" s="3"/>
      <c r="D23" s="3" t="s">
        <v>127</v>
      </c>
      <c r="E23" s="3"/>
      <c r="F23" s="3" t="s">
        <v>48</v>
      </c>
      <c r="G23" s="3">
        <v>1175</v>
      </c>
      <c r="H23" s="3" t="s">
        <v>128</v>
      </c>
      <c r="I23" s="3" t="s">
        <v>131</v>
      </c>
      <c r="J23" s="3"/>
      <c r="K23" s="3"/>
      <c r="L23" s="3"/>
      <c r="M23" s="3"/>
      <c r="N23" s="3"/>
      <c r="O23" s="3"/>
      <c r="P23" s="3"/>
      <c r="Q23" s="3"/>
    </row>
    <row r="24" spans="1:17" ht="28.5">
      <c r="A24" s="3" t="s">
        <v>132</v>
      </c>
      <c r="B24" s="3" t="s">
        <v>40</v>
      </c>
      <c r="C24" s="3" t="s">
        <v>47</v>
      </c>
      <c r="D24" s="3" t="s">
        <v>134</v>
      </c>
      <c r="E24" s="3" t="s">
        <v>133</v>
      </c>
      <c r="F24" s="3" t="s">
        <v>65</v>
      </c>
      <c r="G24" s="3">
        <v>1770</v>
      </c>
      <c r="H24" s="3" t="s">
        <v>135</v>
      </c>
      <c r="I24" s="3" t="s">
        <v>136</v>
      </c>
      <c r="J24" s="3"/>
      <c r="K24" s="3"/>
      <c r="L24" s="3"/>
      <c r="M24" s="3"/>
      <c r="N24" s="3"/>
      <c r="O24" s="3"/>
      <c r="P24" s="3"/>
      <c r="Q24" s="3"/>
    </row>
    <row r="25" spans="1:17" ht="28.5">
      <c r="A25" s="3" t="s">
        <v>137</v>
      </c>
      <c r="B25" s="3" t="s">
        <v>40</v>
      </c>
      <c r="C25" s="3" t="s">
        <v>47</v>
      </c>
      <c r="D25" s="3" t="s">
        <v>73</v>
      </c>
      <c r="E25" s="3" t="s">
        <v>100</v>
      </c>
      <c r="F25" s="3">
        <v>440</v>
      </c>
      <c r="G25" s="3">
        <v>1760</v>
      </c>
      <c r="H25" s="3" t="s">
        <v>53</v>
      </c>
      <c r="I25" s="3" t="s">
        <v>96</v>
      </c>
      <c r="J25" s="3"/>
      <c r="K25" s="3"/>
      <c r="L25" s="3"/>
      <c r="M25" s="3"/>
      <c r="N25" s="3"/>
      <c r="O25" s="3"/>
      <c r="P25" s="3"/>
      <c r="Q25" s="3"/>
    </row>
    <row r="26" spans="1:17" ht="28.5">
      <c r="A26" s="3" t="s">
        <v>138</v>
      </c>
      <c r="B26" s="3" t="s">
        <v>40</v>
      </c>
      <c r="C26" s="3" t="s">
        <v>88</v>
      </c>
      <c r="D26" s="3" t="s">
        <v>85</v>
      </c>
      <c r="E26" s="3" t="s">
        <v>139</v>
      </c>
      <c r="F26" s="3" t="s">
        <v>48</v>
      </c>
      <c r="G26" s="3">
        <v>1740</v>
      </c>
      <c r="H26" s="3" t="s">
        <v>51</v>
      </c>
      <c r="I26" s="3"/>
      <c r="J26" s="3"/>
      <c r="K26" s="3"/>
      <c r="L26" s="3"/>
      <c r="M26" s="3"/>
      <c r="N26" s="3"/>
      <c r="O26" s="3"/>
      <c r="P26" s="3"/>
      <c r="Q26" s="3"/>
    </row>
    <row r="27" spans="1:17" ht="28.5">
      <c r="A27" s="3" t="s">
        <v>140</v>
      </c>
      <c r="B27" s="3" t="s">
        <v>40</v>
      </c>
      <c r="C27" s="3" t="s">
        <v>47</v>
      </c>
      <c r="D27" s="3" t="s">
        <v>73</v>
      </c>
      <c r="E27" s="3" t="s">
        <v>141</v>
      </c>
      <c r="F27" s="3" t="s">
        <v>48</v>
      </c>
      <c r="G27" s="3">
        <v>1760</v>
      </c>
      <c r="H27" s="3" t="s">
        <v>53</v>
      </c>
      <c r="I27" s="3" t="s">
        <v>142</v>
      </c>
      <c r="J27" s="3"/>
      <c r="K27" s="3"/>
      <c r="L27" s="3"/>
      <c r="M27" s="3"/>
      <c r="N27" s="3"/>
      <c r="O27" s="3"/>
      <c r="P27" s="3"/>
      <c r="Q27" s="3"/>
    </row>
    <row r="28" spans="1:17" ht="28.5">
      <c r="A28" s="3" t="s">
        <v>143</v>
      </c>
      <c r="B28" s="3" t="s">
        <v>40</v>
      </c>
      <c r="C28" s="3" t="s">
        <v>40</v>
      </c>
      <c r="D28" s="3" t="s">
        <v>49</v>
      </c>
      <c r="E28" s="3" t="s">
        <v>144</v>
      </c>
      <c r="F28" s="3" t="s">
        <v>65</v>
      </c>
      <c r="G28" s="3">
        <v>1760</v>
      </c>
      <c r="H28" s="3" t="s">
        <v>51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ht="28.5">
      <c r="A29" s="3" t="s">
        <v>146</v>
      </c>
      <c r="B29" s="3" t="s">
        <v>40</v>
      </c>
      <c r="C29" s="3" t="s">
        <v>47</v>
      </c>
      <c r="D29" s="3" t="s">
        <v>91</v>
      </c>
      <c r="E29" s="3" t="s">
        <v>106</v>
      </c>
      <c r="F29" s="3">
        <v>380</v>
      </c>
      <c r="G29" s="3">
        <v>4440</v>
      </c>
      <c r="H29" s="3" t="s">
        <v>93</v>
      </c>
      <c r="I29" s="3" t="s">
        <v>147</v>
      </c>
      <c r="J29" s="3"/>
      <c r="K29" s="3"/>
      <c r="L29" s="3"/>
      <c r="M29" s="3"/>
      <c r="N29" s="3"/>
      <c r="O29" s="3"/>
      <c r="P29" s="3"/>
      <c r="Q29" s="3"/>
    </row>
    <row r="30" spans="1:17" ht="28.5">
      <c r="A30" s="3" t="s">
        <v>148</v>
      </c>
      <c r="B30" s="3" t="s">
        <v>40</v>
      </c>
      <c r="C30" s="3" t="s">
        <v>47</v>
      </c>
      <c r="D30" s="3" t="s">
        <v>91</v>
      </c>
      <c r="E30" s="3" t="s">
        <v>149</v>
      </c>
      <c r="F30" s="3" t="s">
        <v>48</v>
      </c>
      <c r="G30" s="3">
        <v>1725</v>
      </c>
      <c r="H30" s="3" t="s">
        <v>93</v>
      </c>
      <c r="I30" s="3" t="s">
        <v>150</v>
      </c>
      <c r="J30" s="3"/>
      <c r="K30" s="3"/>
      <c r="L30" s="3"/>
      <c r="M30" s="3"/>
      <c r="N30" s="3"/>
      <c r="O30" s="3"/>
      <c r="P30" s="3"/>
      <c r="Q30" s="3"/>
    </row>
    <row r="31" spans="1:17" ht="28.5">
      <c r="A31" s="3" t="s">
        <v>151</v>
      </c>
      <c r="B31" s="3" t="s">
        <v>40</v>
      </c>
      <c r="C31" s="3" t="s">
        <v>47</v>
      </c>
      <c r="D31" s="3" t="s">
        <v>85</v>
      </c>
      <c r="E31" s="3" t="s">
        <v>152</v>
      </c>
      <c r="F31" s="3" t="s">
        <v>48</v>
      </c>
      <c r="G31" s="3">
        <v>3515</v>
      </c>
      <c r="H31" s="3" t="s">
        <v>51</v>
      </c>
      <c r="I31" s="3" t="s">
        <v>109</v>
      </c>
      <c r="J31" s="3"/>
      <c r="K31" s="3"/>
      <c r="L31" s="3"/>
      <c r="M31" s="3"/>
      <c r="N31" s="3"/>
      <c r="O31" s="3"/>
      <c r="P31" s="3"/>
      <c r="Q31" s="3"/>
    </row>
    <row r="32" spans="1:17" ht="28.5">
      <c r="A32" s="3" t="s">
        <v>153</v>
      </c>
      <c r="B32" s="3" t="s">
        <v>40</v>
      </c>
      <c r="C32" s="3" t="s">
        <v>111</v>
      </c>
      <c r="D32" s="3" t="s">
        <v>155</v>
      </c>
      <c r="E32" s="3" t="s">
        <v>154</v>
      </c>
      <c r="F32" s="3" t="s">
        <v>58</v>
      </c>
      <c r="G32" s="3">
        <v>1750</v>
      </c>
      <c r="H32" s="3" t="s">
        <v>68</v>
      </c>
      <c r="I32" s="3" t="s">
        <v>156</v>
      </c>
      <c r="J32" s="3"/>
      <c r="K32" s="3"/>
      <c r="L32" s="3"/>
      <c r="M32" s="3"/>
      <c r="N32" s="3"/>
      <c r="O32" s="3"/>
      <c r="P32" s="3"/>
      <c r="Q32" s="3"/>
    </row>
    <row r="33" spans="1:17" ht="28.5">
      <c r="A33" s="3" t="s">
        <v>157</v>
      </c>
      <c r="B33" s="3" t="s">
        <v>40</v>
      </c>
      <c r="C33" s="3" t="s">
        <v>47</v>
      </c>
      <c r="D33" s="3" t="s">
        <v>91</v>
      </c>
      <c r="E33" s="3" t="s">
        <v>154</v>
      </c>
      <c r="F33" s="3" t="s">
        <v>48</v>
      </c>
      <c r="G33" s="3">
        <v>1725</v>
      </c>
      <c r="H33" s="3" t="s">
        <v>93</v>
      </c>
      <c r="I33" s="3" t="s">
        <v>92</v>
      </c>
      <c r="J33" s="3"/>
      <c r="K33" s="3"/>
      <c r="L33" s="3"/>
      <c r="M33" s="3"/>
      <c r="N33" s="3"/>
      <c r="O33" s="3"/>
      <c r="P33" s="3"/>
      <c r="Q33" s="3"/>
    </row>
    <row r="34" spans="1:17" ht="28.5">
      <c r="A34" s="3" t="s">
        <v>158</v>
      </c>
      <c r="B34" s="3" t="s">
        <v>40</v>
      </c>
      <c r="C34" s="3" t="s">
        <v>47</v>
      </c>
      <c r="D34" s="3" t="s">
        <v>91</v>
      </c>
      <c r="E34" s="3" t="s">
        <v>159</v>
      </c>
      <c r="F34" s="3" t="s">
        <v>58</v>
      </c>
      <c r="G34" s="3">
        <v>3505</v>
      </c>
      <c r="H34" s="3" t="s">
        <v>93</v>
      </c>
      <c r="I34" s="3" t="s">
        <v>76</v>
      </c>
      <c r="J34" s="3"/>
      <c r="K34" s="3"/>
      <c r="L34" s="3"/>
      <c r="M34" s="3"/>
      <c r="N34" s="3"/>
      <c r="O34" s="3"/>
      <c r="P34" s="3"/>
      <c r="Q34" s="3"/>
    </row>
    <row r="35" spans="1:17" ht="28.5">
      <c r="A35" s="3" t="s">
        <v>160</v>
      </c>
      <c r="B35" s="3" t="s">
        <v>40</v>
      </c>
      <c r="C35" s="3" t="s">
        <v>47</v>
      </c>
      <c r="D35" s="3" t="s">
        <v>162</v>
      </c>
      <c r="E35" s="3" t="s">
        <v>161</v>
      </c>
      <c r="F35" s="3" t="s">
        <v>65</v>
      </c>
      <c r="G35" s="3">
        <v>1175</v>
      </c>
      <c r="H35" s="3" t="s">
        <v>163</v>
      </c>
      <c r="I35" s="3" t="s">
        <v>164</v>
      </c>
      <c r="J35" s="3"/>
      <c r="K35" s="3"/>
      <c r="L35" s="3"/>
      <c r="M35" s="3"/>
      <c r="N35" s="3"/>
      <c r="O35" s="3"/>
      <c r="P35" s="3"/>
      <c r="Q35" s="3"/>
    </row>
    <row r="36" spans="1:17" ht="28.5">
      <c r="A36" s="3" t="s">
        <v>165</v>
      </c>
      <c r="B36" s="3" t="s">
        <v>40</v>
      </c>
      <c r="C36" s="3" t="s">
        <v>47</v>
      </c>
      <c r="D36" s="3" t="s">
        <v>123</v>
      </c>
      <c r="E36" s="3" t="s">
        <v>166</v>
      </c>
      <c r="F36" s="3" t="s">
        <v>65</v>
      </c>
      <c r="G36" s="3"/>
      <c r="H36" s="3"/>
      <c r="I36" s="3" t="s">
        <v>167</v>
      </c>
      <c r="J36" s="3"/>
      <c r="K36" s="3"/>
      <c r="L36" s="3"/>
      <c r="M36" s="3"/>
      <c r="N36" s="3"/>
      <c r="O36" s="3"/>
      <c r="P36" s="3"/>
      <c r="Q36" s="3"/>
    </row>
    <row r="37" spans="1:17" ht="28.5">
      <c r="A37" s="3" t="s">
        <v>168</v>
      </c>
      <c r="B37" s="3" t="s">
        <v>40</v>
      </c>
      <c r="C37" s="3" t="s">
        <v>169</v>
      </c>
      <c r="D37" s="3" t="s">
        <v>127</v>
      </c>
      <c r="E37" s="3" t="s">
        <v>170</v>
      </c>
      <c r="F37" s="3" t="s">
        <v>48</v>
      </c>
      <c r="G37" s="3">
        <v>1770</v>
      </c>
      <c r="H37" s="3" t="s">
        <v>128</v>
      </c>
      <c r="I37" s="3" t="s">
        <v>171</v>
      </c>
      <c r="J37" s="3"/>
      <c r="K37" s="3"/>
      <c r="L37" s="3"/>
      <c r="M37" s="3"/>
      <c r="N37" s="3"/>
      <c r="O37" s="3"/>
      <c r="P37" s="3"/>
      <c r="Q37" s="3"/>
    </row>
    <row r="38" spans="1:17" ht="28.5">
      <c r="A38" s="3" t="s">
        <v>172</v>
      </c>
      <c r="B38" s="3" t="s">
        <v>88</v>
      </c>
      <c r="C38" s="3" t="s">
        <v>111</v>
      </c>
      <c r="D38" s="3" t="s">
        <v>174</v>
      </c>
      <c r="E38" s="3" t="s">
        <v>173</v>
      </c>
      <c r="F38" s="3" t="s">
        <v>65</v>
      </c>
      <c r="G38" s="3">
        <v>1710</v>
      </c>
      <c r="H38" s="3" t="s">
        <v>176</v>
      </c>
      <c r="I38" s="3" t="s">
        <v>175</v>
      </c>
      <c r="J38" s="3"/>
      <c r="K38" s="3"/>
      <c r="L38" s="3"/>
      <c r="M38" s="3"/>
      <c r="N38" s="3"/>
      <c r="O38" s="3"/>
      <c r="P38" s="3"/>
      <c r="Q38" s="3"/>
    </row>
    <row r="39" spans="1:17" ht="28.5">
      <c r="A39" s="3" t="s">
        <v>177</v>
      </c>
      <c r="B39" s="3" t="s">
        <v>88</v>
      </c>
      <c r="C39" s="3" t="s">
        <v>111</v>
      </c>
      <c r="D39" s="3" t="s">
        <v>187</v>
      </c>
      <c r="E39" s="3" t="s">
        <v>178</v>
      </c>
      <c r="F39" s="3" t="s">
        <v>58</v>
      </c>
      <c r="G39" s="3" t="s">
        <v>179</v>
      </c>
      <c r="H39" s="3" t="s">
        <v>176</v>
      </c>
      <c r="I39" s="3" t="s">
        <v>186</v>
      </c>
      <c r="J39" s="3"/>
      <c r="K39" s="3"/>
      <c r="L39" s="3"/>
      <c r="M39" s="3"/>
      <c r="N39" s="3"/>
      <c r="O39" s="3"/>
      <c r="P39" s="3"/>
      <c r="Q39" s="3"/>
    </row>
    <row r="40" spans="1:17" ht="28.5">
      <c r="A40" s="3" t="s">
        <v>180</v>
      </c>
      <c r="B40" s="3" t="s">
        <v>40</v>
      </c>
      <c r="C40" s="3" t="s">
        <v>47</v>
      </c>
      <c r="D40" s="3"/>
      <c r="E40" s="3" t="s">
        <v>181</v>
      </c>
      <c r="F40" s="3" t="s">
        <v>48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8.5">
      <c r="A41" s="3" t="s">
        <v>182</v>
      </c>
      <c r="B41" s="3" t="s">
        <v>40</v>
      </c>
      <c r="C41" s="3" t="s">
        <v>111</v>
      </c>
      <c r="D41" s="3" t="s">
        <v>52</v>
      </c>
      <c r="E41" s="3" t="s">
        <v>97</v>
      </c>
      <c r="F41" s="3" t="s">
        <v>65</v>
      </c>
      <c r="G41" s="3">
        <v>3550</v>
      </c>
      <c r="H41" s="3" t="s">
        <v>53</v>
      </c>
      <c r="I41" s="3" t="s">
        <v>183</v>
      </c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4"/>
      <c r="B70" s="5"/>
      <c r="C70" s="6"/>
      <c r="D70" s="6"/>
      <c r="E70" s="6"/>
      <c r="F70" s="6"/>
      <c r="G70" s="6"/>
      <c r="H70" s="6"/>
      <c r="I70" s="7"/>
      <c r="J70" s="7"/>
      <c r="K70" s="6"/>
      <c r="L70" s="3"/>
      <c r="M70" s="3"/>
      <c r="N70" s="3"/>
      <c r="O70" s="3"/>
      <c r="P70" s="3"/>
      <c r="Q70" s="6"/>
    </row>
    <row r="71" spans="1:17">
      <c r="A71" s="6"/>
      <c r="B71" s="6"/>
      <c r="C71" s="6"/>
      <c r="D71" s="6"/>
      <c r="E71" s="6"/>
      <c r="F71" s="6"/>
      <c r="G71" s="7"/>
      <c r="H71" s="7"/>
      <c r="I71" s="7"/>
      <c r="J71" s="7"/>
      <c r="K71" s="7"/>
      <c r="L71" s="3"/>
      <c r="M71" s="3"/>
      <c r="N71" s="3"/>
      <c r="O71" s="3"/>
      <c r="P71" s="3"/>
      <c r="Q71" s="6"/>
    </row>
    <row r="90" spans="13:13">
      <c r="M90" s="2" t="s">
        <v>192</v>
      </c>
    </row>
  </sheetData>
  <phoneticPr fontId="3" type="noConversion"/>
  <conditionalFormatting sqref="B72:B1048576">
    <cfRule type="duplicateValues" dxfId="2" priority="13"/>
  </conditionalFormatting>
  <conditionalFormatting sqref="R1">
    <cfRule type="duplicateValues" dxfId="1" priority="14"/>
  </conditionalFormatting>
  <conditionalFormatting sqref="R2:R71">
    <cfRule type="duplicateValues" dxfId="0" priority="24"/>
  </conditionalFormatting>
  <pageMargins left="0.70866141732283472" right="0.70866141732283472" top="0.74803149606299213" bottom="0.74803149606299213" header="0.31496062992125984" footer="0.31496062992125984"/>
  <pageSetup paperSize="9" scale="47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4.25"/>
  <cols>
    <col min="1" max="1" width="66.125" customWidth="1"/>
    <col min="2" max="2" width="80" customWidth="1"/>
  </cols>
  <sheetData>
    <row r="1" spans="1:2" ht="15">
      <c r="A1" s="8" t="s">
        <v>15</v>
      </c>
      <c r="B1" s="8"/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2" spans="1:2">
      <c r="A12" t="s">
        <v>32</v>
      </c>
    </row>
    <row r="13" spans="1:2">
      <c r="A13" t="s">
        <v>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Santiago</dc:creator>
  <cp:lastModifiedBy>Andre Santiago</cp:lastModifiedBy>
  <cp:lastPrinted>2026-06-23T11:09:47Z</cp:lastPrinted>
  <dcterms:created xsi:type="dcterms:W3CDTF">2026-06-09T19:30:54Z</dcterms:created>
  <dcterms:modified xsi:type="dcterms:W3CDTF">2026-10-14T20:47:01Z</dcterms:modified>
</cp:coreProperties>
</file>